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en ban giao nhan X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<sst xmlns="http://schemas.openxmlformats.org/spreadsheetml/2006/main" count="85" uniqueCount="67">
  <si>
    <t xml:space="preserve">CÔNG TY TNHH XĂNG DẦU TÂY NAM S.W.P</t>
  </si>
  <si>
    <t xml:space="preserve">CỘNG HÒA XÃ HỘI CHỦ NGHĨA VIỆT NAM</t>
  </si>
  <si>
    <t xml:space="preserve">Mẫu M07</t>
  </si>
  <si>
    <t xml:space="preserve">CỬA HÀNG XĂNG DẦU ….</t>
  </si>
  <si>
    <t xml:space="preserve">ĐỘC LẬP - TỰ DO - HẠNH PHÚC</t>
  </si>
  <si>
    <t xml:space="preserve">BIÊN BẢN GIAO NHẬN XĂNG DẦU</t>
  </si>
  <si>
    <t xml:space="preserve">Hôm nay: </t>
  </si>
  <si>
    <t xml:space="preserve">vào hồi ... giờ ... ngày ... tháng ... năm …. </t>
  </si>
  <si>
    <t xml:space="preserve">Chúng tôi gồm:</t>
  </si>
  <si>
    <t xml:space="preserve">A. ĐẠI DIỆN BÊN GIAO:</t>
  </si>
  <si>
    <t xml:space="preserve">- Ông (Bà): </t>
  </si>
  <si>
    <t xml:space="preserve">Lái xe BKS</t>
  </si>
  <si>
    <t xml:space="preserve">Đại diện bên vận chuyển</t>
  </si>
  <si>
    <t xml:space="preserve">- Ông (Bà):</t>
  </si>
  <si>
    <t xml:space="preserve">B. ĐẠI DIỆN BÊN NHẬN:</t>
  </si>
  <si>
    <t xml:space="preserve">Cửa hàng trưởng</t>
  </si>
  <si>
    <t xml:space="preserve">Ca trưởng</t>
  </si>
  <si>
    <t xml:space="preserve">Cùng nhau giao nhận các loại hàng hóa như sau:</t>
  </si>
  <si>
    <t xml:space="preserve">I/ THÔNG TIN CHUNG:</t>
  </si>
  <si>
    <t xml:space="preserve">Kho xuất</t>
  </si>
  <si>
    <t xml:space="preserve">Kho nhập</t>
  </si>
  <si>
    <t xml:space="preserve">Nguồn nhập</t>
  </si>
  <si>
    <t xml:space="preserve">Phương thức nhập</t>
  </si>
  <si>
    <t xml:space="preserve">II/THÔNG TIN CHI TIẾT</t>
  </si>
  <si>
    <t xml:space="preserve">Theo vận đơn</t>
  </si>
  <si>
    <t xml:space="preserve">Lượng DCNB (nếu có)</t>
  </si>
  <si>
    <t xml:space="preserve">Tại phương tiện</t>
  </si>
  <si>
    <t xml:space="preserve">Lượng nhập bể          Lít TT</t>
  </si>
  <si>
    <t xml:space="preserve">Lượng chênh lệch giao nhận</t>
  </si>
  <si>
    <t xml:space="preserve">Lượng giãn nở do CL nhiệt độ</t>
  </si>
  <si>
    <t xml:space="preserve">Lượng hao hụt vận chuyển</t>
  </si>
  <si>
    <t xml:space="preserve">Thừa/Thiếu vận chuyển</t>
  </si>
  <si>
    <t xml:space="preserve">Số chứng từ</t>
  </si>
  <si>
    <t xml:space="preserve">Tên hàng hóa</t>
  </si>
  <si>
    <t xml:space="preserve">Lượng Lít TT</t>
  </si>
  <si>
    <t xml:space="preserve">Nhiệt độ</t>
  </si>
  <si>
    <t xml:space="preserve">Lượng Lít 15</t>
  </si>
  <si>
    <t xml:space="preserve">10=3-6-7</t>
  </si>
  <si>
    <t xml:space="preserve">13=10-11-12</t>
  </si>
  <si>
    <t xml:space="preserve">Ron 95 mức 3</t>
  </si>
  <si>
    <t xml:space="preserve">E10 Ron 95</t>
  </si>
  <si>
    <t xml:space="preserve">Do 0,05S</t>
  </si>
  <si>
    <t xml:space="preserve">Do 0,001S</t>
  </si>
  <si>
    <t xml:space="preserve">Ghi chú:</t>
  </si>
  <si>
    <t xml:space="preserve">- Chiều cao từ mặt dầu đến tấm mức:</t>
  </si>
  <si>
    <t xml:space="preserve">+ Một phân chiều cao téc:</t>
  </si>
  <si>
    <t xml:space="preserve">+ Hóa đơn:</t>
  </si>
  <si>
    <t xml:space="preserve">Ngăn 1</t>
  </si>
  <si>
    <t xml:space="preserve">Ngăn 2</t>
  </si>
  <si>
    <t xml:space="preserve">Ngăn 3</t>
  </si>
  <si>
    <t xml:space="preserve">Ngăn 4</t>
  </si>
  <si>
    <t xml:space="preserve">Ngăn 5</t>
  </si>
  <si>
    <t xml:space="preserve">Ngăn 6</t>
  </si>
  <si>
    <t xml:space="preserve">Ngăn 7</t>
  </si>
  <si>
    <t xml:space="preserve">+ Thực nhận:</t>
  </si>
  <si>
    <t xml:space="preserve">+ Loại hàng:</t>
  </si>
  <si>
    <r>
      <rPr>
        <sz val="12"/>
        <rFont val="Times New Roman"/>
        <family val="1"/>
        <charset val="1"/>
      </rPr>
      <t xml:space="preserve">- Hệ số giãn nở xăng dầu bình quân (</t>
    </r>
    <r>
      <rPr>
        <sz val="12"/>
        <rFont val="Calibri"/>
        <family val="2"/>
        <charset val="1"/>
      </rPr>
      <t xml:space="preserve">ß</t>
    </r>
    <r>
      <rPr>
        <sz val="12"/>
        <rFont val="Times New Roman"/>
        <family val="1"/>
        <charset val="1"/>
      </rPr>
      <t xml:space="preserve">): Xăng các loại=0,0013; Dầu Diesel=0,0009; Dầu hỏa=0,0010 </t>
    </r>
  </si>
  <si>
    <r>
      <rPr>
        <sz val="12"/>
        <rFont val="Times New Roman"/>
        <family val="1"/>
        <charset val="1"/>
      </rPr>
      <t xml:space="preserve">- Hệ số hao hụt vận chuyển xăng dầu bình quân (</t>
    </r>
    <r>
      <rPr>
        <sz val="12"/>
        <rFont val="Calibri"/>
        <family val="2"/>
        <charset val="1"/>
      </rPr>
      <t xml:space="preserve">ß</t>
    </r>
    <r>
      <rPr>
        <sz val="12"/>
        <rFont val="Times New Roman"/>
        <family val="1"/>
        <charset val="1"/>
      </rPr>
      <t xml:space="preserve">): Xăng các loại=0,00075; Dầu Diesel=0,0003;</t>
    </r>
  </si>
  <si>
    <t xml:space="preserve">- Chênh lệch giao nhận cột 10 là chênh lệch lượng (Lít TT) tại nơi giao và nơi nhận; Lượng giao &lt;  Lượng nhận dấu (-); Lượng giao &gt;  Lượng nhận dấu (+)</t>
  </si>
  <si>
    <t xml:space="preserve">- Lượng giãn nở do chênh lệch nhiệt độ (11) = (4-8) * (3-6) * ß</t>
  </si>
  <si>
    <t xml:space="preserve">- Lượng thừa thiếu vận chuyển: Thừa (-); Thiếu (+)</t>
  </si>
  <si>
    <t xml:space="preserve">- Tuỳ theo yêu cầu quản lý cụ thể của đơn vị, Các Cột 5, 6 không bắt buộc phải nhập liệu. Cột 7, 9,10,11,12,13 đã khóa</t>
  </si>
  <si>
    <t xml:space="preserve">Biên bản được lập thành 2 bản có giá trị như nhau./.</t>
  </si>
  <si>
    <t xml:space="preserve">BÊN GIAO</t>
  </si>
  <si>
    <t xml:space="preserve">BÊN NHẬN</t>
  </si>
  <si>
    <t xml:space="preserve">CỬA HÀNG TRƯỞNG</t>
  </si>
  <si>
    <t xml:space="preserve">PHỤ TRÁCH CA BÁN HÀNG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</si>
</sst>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_);_(* \(#,##0\);_(* \-??_);_(@_)"/>
  </numFmts>
  <fonts count="15">
    <font>
      <sz val="12"/>
      <color theme="1"/>
      <name val="Times New Roman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sz val="11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i val="true"/>
      <sz val="11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u val="single"/>
      <sz val="12"/>
      <name val="Times New Roman"/>
      <family val="1"/>
      <charset val="1"/>
    </font>
    <font>
      <sz val="12"/>
      <name val="Calibri"/>
      <family val="2"/>
      <charset val="1"/>
    </font>
    <font>
      <i val="true"/>
      <sz val="12"/>
      <name val="Times New Roman"/>
      <family val="1"/>
      <charset val="1"/>
    </font>
    <font>
      <sz val="11"/>
      <color theme="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1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0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3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#&apos;Ca ban hang&apos;.A1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95040</xdr:colOff>
      <xdr:row>3</xdr:row>
      <xdr:rowOff>66240</xdr:rowOff>
    </xdr:to>
    <xdr:sp>
      <xdr:nvSpPr>
        <xdr:cNvPr id="0" name="Left Arrow 1">
          <a:hlinkClick r:id="rId1"/>
        </xdr:cNvPr>
        <xdr:cNvSpPr/>
      </xdr:nvSpPr>
      <xdr:spPr>
        <a:xfrm>
          <a:off x="10109160" y="190440"/>
          <a:ext cx="685800" cy="313920"/>
        </a:xfrm>
        <a:prstGeom prst="lef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n-US" sz="1100" spc="-1" strike="noStrike">
              <a:solidFill>
                <a:schemeClr val="lt1"/>
              </a:solidFill>
              <a:latin typeface="Calibri"/>
            </a:rPr>
            <a:t>BACK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24" activeCellId="0" sqref="G24"/>
    </sheetView>
  </sheetViews>
  <sheetFormatPr defaultColWidth="9.41796875" defaultRowHeight="15" zeroHeight="false" outlineLevelRow="0" outlineLevelCol="0"/>
  <cols>
    <col collapsed="false" customWidth="true" hidden="false" outlineLevel="0" max="1" min="1" style="1" width="9.34"/>
    <col collapsed="false" customWidth="true" hidden="false" outlineLevel="0" max="2" min="2" style="1" width="13.08"/>
    <col collapsed="false" customWidth="false" hidden="false" outlineLevel="0" max="3" min="3" style="1" width="9.42"/>
    <col collapsed="false" customWidth="true" hidden="false" outlineLevel="0" max="4" min="4" style="1" width="10.08"/>
    <col collapsed="false" customWidth="true" hidden="false" outlineLevel="0" max="5" min="5" style="1" width="9.67"/>
    <col collapsed="false" customWidth="true" hidden="false" outlineLevel="0" max="6" min="6" style="1" width="9.34"/>
    <col collapsed="false" customWidth="true" hidden="false" outlineLevel="0" max="7" min="7" style="1" width="9"/>
    <col collapsed="false" customWidth="true" hidden="false" outlineLevel="0" max="8" min="8" style="1" width="6.34"/>
    <col collapsed="false" customWidth="true" hidden="false" outlineLevel="0" max="9" min="9" style="1" width="9.34"/>
    <col collapsed="false" customWidth="false" hidden="false" outlineLevel="0" max="10" min="10" style="1" width="9.42"/>
    <col collapsed="false" customWidth="true" hidden="false" outlineLevel="0" max="11" min="11" style="1" width="10.83"/>
    <col collapsed="false" customWidth="true" hidden="false" outlineLevel="0" max="12" min="12" style="1" width="8.66"/>
    <col collapsed="false" customWidth="true" hidden="false" outlineLevel="0" max="13" min="13" style="1" width="10.58"/>
    <col collapsed="false" customWidth="true" hidden="false" outlineLevel="0" max="14" min="14" style="1" width="7.58"/>
    <col collapsed="false" customWidth="true" hidden="false" outlineLevel="0" max="15" min="15" style="1" width="7.75"/>
    <col collapsed="false" customWidth="true" hidden="false" outlineLevel="0" max="16" min="16" style="1" width="8.33"/>
    <col collapsed="false" customWidth="false" hidden="false" outlineLevel="0" max="16384" min="17" style="1" width="9.42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3" t="s">
        <v>1</v>
      </c>
      <c r="G1" s="3"/>
      <c r="H1" s="3"/>
      <c r="I1" s="3"/>
      <c r="J1" s="3"/>
      <c r="K1" s="3"/>
      <c r="L1" s="4" t="s">
        <v>2</v>
      </c>
      <c r="M1" s="4"/>
    </row>
    <row r="2" customFormat="false" ht="15" hidden="false" customHeight="false" outlineLevel="0" collapsed="false">
      <c r="A2" s="5" t="s">
        <v>3</v>
      </c>
      <c r="B2" s="5"/>
      <c r="C2" s="5"/>
      <c r="D2" s="5"/>
      <c r="E2" s="5"/>
      <c r="F2" s="6" t="s">
        <v>4</v>
      </c>
      <c r="G2" s="6"/>
      <c r="H2" s="6"/>
      <c r="I2" s="6"/>
      <c r="J2" s="6"/>
      <c r="K2" s="6"/>
    </row>
    <row r="3" customFormat="false" ht="4.5" hidden="false" customHeight="true" outlineLevel="0" collapsed="false">
      <c r="J3" s="4"/>
      <c r="K3" s="4"/>
    </row>
    <row r="4" customFormat="false" ht="17.25" hidden="false" customHeight="false" outlineLevel="0" collapsed="false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Format="false" ht="1.5" hidden="false" customHeight="true" outlineLevel="0" collapsed="false"/>
    <row r="6" customFormat="false" ht="15" hidden="false" customHeight="false" outlineLevel="0" collapsed="false">
      <c r="A6" s="1" t="s">
        <v>6</v>
      </c>
      <c r="B6" s="1" t="s">
        <v>7</v>
      </c>
      <c r="F6" s="1" t="s">
        <v>8</v>
      </c>
    </row>
    <row r="7" customFormat="false" ht="15" hidden="false" customHeight="false" outlineLevel="0" collapsed="false">
      <c r="A7" s="8" t="s">
        <v>9</v>
      </c>
    </row>
    <row r="8" customFormat="false" ht="15" hidden="false" customHeight="false" outlineLevel="0" collapsed="false">
      <c r="A8" s="1" t="s">
        <v>10</v>
      </c>
      <c r="B8" s="9"/>
      <c r="C8" s="9"/>
      <c r="D8" s="9"/>
      <c r="E8" s="1" t="s">
        <v>11</v>
      </c>
      <c r="F8" s="10"/>
      <c r="G8" s="10"/>
      <c r="H8" s="1" t="s">
        <v>12</v>
      </c>
    </row>
    <row r="9" customFormat="false" ht="15" hidden="false" customHeight="false" outlineLevel="0" collapsed="false">
      <c r="A9" s="1" t="s">
        <v>13</v>
      </c>
      <c r="B9" s="9"/>
      <c r="C9" s="9"/>
      <c r="D9" s="9"/>
    </row>
    <row r="10" customFormat="false" ht="15" hidden="false" customHeight="false" outlineLevel="0" collapsed="false">
      <c r="A10" s="8" t="s">
        <v>14</v>
      </c>
    </row>
    <row r="11" customFormat="false" ht="15" hidden="false" customHeight="false" outlineLevel="0" collapsed="false">
      <c r="A11" s="1" t="s">
        <v>10</v>
      </c>
      <c r="B11" s="9"/>
      <c r="C11" s="9"/>
      <c r="D11" s="9"/>
      <c r="E11" s="1" t="s">
        <v>15</v>
      </c>
    </row>
    <row r="12" customFormat="false" ht="15" hidden="false" customHeight="false" outlineLevel="0" collapsed="false">
      <c r="A12" s="1" t="s">
        <v>10</v>
      </c>
      <c r="B12" s="9"/>
      <c r="C12" s="9"/>
      <c r="D12" s="9"/>
      <c r="E12" s="1" t="s">
        <v>16</v>
      </c>
    </row>
    <row r="13" customFormat="false" ht="15" hidden="false" customHeight="false" outlineLevel="0" collapsed="false">
      <c r="A13" s="1" t="s">
        <v>17</v>
      </c>
    </row>
    <row r="14" customFormat="false" ht="2.25" hidden="false" customHeight="true" outlineLevel="0" collapsed="false"/>
    <row r="15" customFormat="false" ht="15" hidden="false" customHeight="false" outlineLevel="0" collapsed="false">
      <c r="A15" s="8" t="s">
        <v>18</v>
      </c>
    </row>
    <row r="16" customFormat="false" ht="15" hidden="false" customHeight="false" outlineLevel="0" collapsed="false">
      <c r="A16" s="1" t="s">
        <v>19</v>
      </c>
      <c r="B16" s="9"/>
      <c r="C16" s="9"/>
      <c r="D16" s="1" t="s">
        <v>20</v>
      </c>
      <c r="E16" s="9"/>
      <c r="F16" s="9"/>
      <c r="G16" s="11" t="s">
        <v>21</v>
      </c>
      <c r="H16" s="11"/>
      <c r="I16" s="11"/>
      <c r="J16" s="1" t="s">
        <v>22</v>
      </c>
      <c r="L16" s="9"/>
      <c r="M16" s="9"/>
    </row>
    <row r="17" customFormat="false" ht="2.25" hidden="false" customHeight="true" outlineLevel="0" collapsed="false"/>
    <row r="18" customFormat="false" ht="15" hidden="false" customHeight="false" outlineLevel="0" collapsed="false">
      <c r="A18" s="8" t="s">
        <v>23</v>
      </c>
    </row>
    <row r="19" customFormat="false" ht="21" hidden="false" customHeight="true" outlineLevel="0" collapsed="false">
      <c r="A19" s="12" t="s">
        <v>24</v>
      </c>
      <c r="B19" s="12"/>
      <c r="C19" s="12"/>
      <c r="D19" s="12"/>
      <c r="E19" s="12"/>
      <c r="F19" s="12" t="s">
        <v>25</v>
      </c>
      <c r="G19" s="12" t="s">
        <v>26</v>
      </c>
      <c r="H19" s="12"/>
      <c r="I19" s="13" t="s">
        <v>27</v>
      </c>
      <c r="J19" s="12" t="s">
        <v>28</v>
      </c>
      <c r="K19" s="12" t="s">
        <v>29</v>
      </c>
      <c r="L19" s="12" t="s">
        <v>30</v>
      </c>
      <c r="M19" s="12" t="s">
        <v>31</v>
      </c>
    </row>
    <row r="20" customFormat="false" ht="41.25" hidden="false" customHeight="true" outlineLevel="0" collapsed="false">
      <c r="A20" s="12" t="s">
        <v>32</v>
      </c>
      <c r="B20" s="12" t="s">
        <v>33</v>
      </c>
      <c r="C20" s="12" t="s">
        <v>34</v>
      </c>
      <c r="D20" s="12" t="s">
        <v>35</v>
      </c>
      <c r="E20" s="12" t="s">
        <v>36</v>
      </c>
      <c r="F20" s="12"/>
      <c r="G20" s="12" t="s">
        <v>34</v>
      </c>
      <c r="H20" s="12" t="s">
        <v>35</v>
      </c>
      <c r="I20" s="13"/>
      <c r="J20" s="12"/>
      <c r="K20" s="12"/>
      <c r="L20" s="12"/>
      <c r="M20" s="12"/>
    </row>
    <row r="21" customFormat="false" ht="15" hidden="false" customHeight="false" outlineLevel="0" collapsed="false">
      <c r="A21" s="14" t="n">
        <v>1</v>
      </c>
      <c r="B21" s="14" t="n">
        <v>2</v>
      </c>
      <c r="C21" s="14" t="n">
        <v>3</v>
      </c>
      <c r="D21" s="14" t="n">
        <v>4</v>
      </c>
      <c r="E21" s="14" t="n">
        <v>5</v>
      </c>
      <c r="F21" s="14" t="n">
        <v>6</v>
      </c>
      <c r="G21" s="14" t="n">
        <v>7</v>
      </c>
      <c r="H21" s="14" t="n">
        <v>8</v>
      </c>
      <c r="I21" s="15" t="n">
        <v>9</v>
      </c>
      <c r="J21" s="14" t="s">
        <v>37</v>
      </c>
      <c r="K21" s="14" t="n">
        <v>11</v>
      </c>
      <c r="L21" s="14" t="n">
        <v>12</v>
      </c>
      <c r="M21" s="14" t="s">
        <v>38</v>
      </c>
    </row>
    <row r="22" customFormat="false" ht="15" hidden="false" customHeight="false" outlineLevel="0" collapsed="false">
      <c r="A22" s="16" t="n">
        <v>1</v>
      </c>
      <c r="B22" s="17" t="s">
        <v>39</v>
      </c>
      <c r="C22" s="18"/>
      <c r="D22" s="19"/>
      <c r="E22" s="18"/>
      <c r="F22" s="20"/>
      <c r="G22" s="21" t="n">
        <f aca="false">C22+(IF($C$31=B22,$D$30*$D$28,0)+IF($E$31=B22,$F$30*$F$28,0)+IF($G$31=B22,$H$30*$H$28,0)+IF($I$31=B22,$J$30*$J$28,0)+IF($K$31=B22,$L$30*$L$28,0)+IF($M$31=B22,$N$30*$N$28,0)+IF($O$31=B22,$P$28*$P$30,0))</f>
        <v>0</v>
      </c>
      <c r="H22" s="19"/>
      <c r="I22" s="22" t="n">
        <f aca="false">G22-F22</f>
        <v>0</v>
      </c>
      <c r="J22" s="23" t="n">
        <f aca="false">C22-F22-G22</f>
        <v>0</v>
      </c>
      <c r="K22" s="23" t="n">
        <f aca="false">(D22-H22)*(C22-F22)*0.0013</f>
        <v>0</v>
      </c>
      <c r="L22" s="23" t="n">
        <f aca="false">C22*0.00075</f>
        <v>0</v>
      </c>
      <c r="M22" s="23" t="n">
        <f aca="false">J22-K22-L22</f>
        <v>0</v>
      </c>
    </row>
    <row r="23" customFormat="false" ht="15" hidden="false" customHeight="false" outlineLevel="0" collapsed="false">
      <c r="A23" s="16" t="n">
        <v>2</v>
      </c>
      <c r="B23" s="17" t="s">
        <v>40</v>
      </c>
      <c r="C23" s="18"/>
      <c r="D23" s="19"/>
      <c r="E23" s="18"/>
      <c r="F23" s="20"/>
      <c r="G23" s="21" t="n">
        <f aca="false">C23+(IF($C$31=B23,$D$30*$D$28,0)+IF($E$31=B23,$F$30*$F$28,0)+IF($G$31=B23,$H$30*$H$28,0)+IF($I$31=B23,$J$30*$J$28,0)+IF($K$31=B23,$L$30*$L$28,0)+IF($M$31=B23,$N$30*$N$28,0)+IF($O$31=B23,$P$28*$P$30,0))</f>
        <v>0</v>
      </c>
      <c r="H23" s="19"/>
      <c r="I23" s="22" t="n">
        <f aca="false">G23-F23</f>
        <v>0</v>
      </c>
      <c r="J23" s="23" t="n">
        <f aca="false">C23-F23-G23</f>
        <v>0</v>
      </c>
      <c r="K23" s="23" t="n">
        <f aca="false">(D23-H23)*(C23-F23)*0.0013</f>
        <v>0</v>
      </c>
      <c r="L23" s="23" t="n">
        <f aca="false">C23*0.00075</f>
        <v>0</v>
      </c>
      <c r="M23" s="23" t="n">
        <f aca="false">J23-K23-L23</f>
        <v>0</v>
      </c>
    </row>
    <row r="24" customFormat="false" ht="15" hidden="false" customHeight="false" outlineLevel="0" collapsed="false">
      <c r="A24" s="16" t="n">
        <v>3</v>
      </c>
      <c r="B24" s="17" t="s">
        <v>41</v>
      </c>
      <c r="C24" s="18" t="n">
        <v>23270</v>
      </c>
      <c r="D24" s="19" t="n">
        <v>30.5</v>
      </c>
      <c r="E24" s="18"/>
      <c r="F24" s="20"/>
      <c r="G24" s="21" t="n">
        <f aca="false">C24+(IF($C$31=B24,$D$30*$D$28,0)+IF($E$31=B24,$F$30*$F$28,0)+IF($G$31=B24,$H$30*$H$28,0)+IF($I$31=B24,$J$30*$J$28,0)+IF($K$31=B24,$L$30*$L$28,0)+IF($M$31=B24,$N$30*$N$28,0)+IF($O$31=B24,$P$28*$P$30,0))</f>
        <v>23270</v>
      </c>
      <c r="H24" s="19" t="n">
        <v>33.5</v>
      </c>
      <c r="I24" s="22" t="n">
        <f aca="false">G24-F24</f>
        <v>23270</v>
      </c>
      <c r="J24" s="23" t="n">
        <f aca="false">C24-F24-G24</f>
        <v>0</v>
      </c>
      <c r="K24" s="23" t="n">
        <f aca="false">(D24-H24)*(C24-F24)*0.0009</f>
        <v>-62.829</v>
      </c>
      <c r="L24" s="23" t="n">
        <f aca="false">C24*0.0003</f>
        <v>6.981</v>
      </c>
      <c r="M24" s="23" t="n">
        <f aca="false">J24-K24-L24</f>
        <v>55.848</v>
      </c>
    </row>
    <row r="25" customFormat="false" ht="15" hidden="false" customHeight="false" outlineLevel="0" collapsed="false">
      <c r="A25" s="16" t="n">
        <v>4</v>
      </c>
      <c r="B25" s="17" t="s">
        <v>42</v>
      </c>
      <c r="C25" s="18"/>
      <c r="D25" s="19"/>
      <c r="E25" s="18"/>
      <c r="F25" s="20"/>
      <c r="G25" s="21" t="n">
        <f aca="false">C25+(IF($C$31=B25,$D$30*$D$28,0)+IF($E$31=B25,$F$30*$F$28,0)+IF($G$31=B25,$H$30*$H$28,0)+IF($I$31=B25,$J$30*$J$28,0)+IF($K$31=B25,$L$30*$L$28,0)+IF($M$31=B25,$N$30*$N$28,0)+IF($O$31=B25,$P$28*$P$30,0))</f>
        <v>0</v>
      </c>
      <c r="H25" s="19"/>
      <c r="I25" s="22" t="n">
        <f aca="false">G25-F25</f>
        <v>0</v>
      </c>
      <c r="J25" s="23" t="n">
        <f aca="false">C25-F25-G25</f>
        <v>0</v>
      </c>
      <c r="K25" s="23" t="n">
        <f aca="false">(D25-H25)*(C25-F25)*0.0009</f>
        <v>0</v>
      </c>
      <c r="L25" s="23" t="n">
        <f aca="false">C25*0.0003</f>
        <v>0</v>
      </c>
      <c r="M25" s="23" t="n">
        <f aca="false">J25-K25-L25</f>
        <v>0</v>
      </c>
    </row>
    <row r="26" customFormat="false" ht="15.75" hidden="false" customHeight="true" outlineLevel="0" collapsed="false">
      <c r="A26" s="24" t="s">
        <v>43</v>
      </c>
    </row>
    <row r="27" customFormat="false" ht="15.75" hidden="false" customHeight="true" outlineLevel="0" collapsed="false">
      <c r="A27" s="25" t="s">
        <v>44</v>
      </c>
    </row>
    <row r="28" customFormat="false" ht="15.75" hidden="false" customHeight="true" outlineLevel="0" collapsed="false">
      <c r="A28" s="25" t="s">
        <v>45</v>
      </c>
      <c r="D28" s="26" t="n">
        <v>5</v>
      </c>
      <c r="F28" s="26" t="n">
        <v>5</v>
      </c>
      <c r="H28" s="26" t="n">
        <v>5</v>
      </c>
      <c r="J28" s="26" t="n">
        <v>5</v>
      </c>
      <c r="L28" s="26" t="n">
        <v>5</v>
      </c>
      <c r="N28" s="26"/>
      <c r="P28" s="26"/>
    </row>
    <row r="29" customFormat="false" ht="15.75" hidden="false" customHeight="true" outlineLevel="0" collapsed="false">
      <c r="A29" s="25" t="s">
        <v>46</v>
      </c>
      <c r="C29" s="25" t="s">
        <v>47</v>
      </c>
      <c r="D29" s="27"/>
      <c r="E29" s="25" t="s">
        <v>48</v>
      </c>
      <c r="F29" s="27"/>
      <c r="G29" s="25" t="s">
        <v>49</v>
      </c>
      <c r="H29" s="27"/>
      <c r="I29" s="25" t="s">
        <v>50</v>
      </c>
      <c r="J29" s="27" t="n">
        <v>0</v>
      </c>
      <c r="K29" s="25" t="s">
        <v>51</v>
      </c>
      <c r="L29" s="27" t="n">
        <v>0</v>
      </c>
      <c r="M29" s="25" t="s">
        <v>52</v>
      </c>
      <c r="N29" s="27" t="n">
        <v>0</v>
      </c>
      <c r="O29" s="25" t="s">
        <v>53</v>
      </c>
      <c r="P29" s="27" t="n">
        <v>0</v>
      </c>
    </row>
    <row r="30" customFormat="false" ht="15.75" hidden="false" customHeight="true" outlineLevel="0" collapsed="false">
      <c r="A30" s="25" t="s">
        <v>54</v>
      </c>
      <c r="C30" s="25" t="s">
        <v>47</v>
      </c>
      <c r="D30" s="27"/>
      <c r="E30" s="25" t="s">
        <v>48</v>
      </c>
      <c r="F30" s="27"/>
      <c r="G30" s="25" t="s">
        <v>49</v>
      </c>
      <c r="H30" s="27"/>
      <c r="I30" s="25" t="s">
        <v>50</v>
      </c>
      <c r="J30" s="27" t="n">
        <v>0</v>
      </c>
      <c r="K30" s="25" t="s">
        <v>51</v>
      </c>
      <c r="L30" s="27" t="n">
        <v>0</v>
      </c>
      <c r="M30" s="25" t="s">
        <v>52</v>
      </c>
      <c r="N30" s="27" t="n">
        <v>0</v>
      </c>
      <c r="O30" s="25" t="s">
        <v>53</v>
      </c>
      <c r="P30" s="27" t="n">
        <v>0</v>
      </c>
    </row>
    <row r="31" customFormat="false" ht="15.75" hidden="false" customHeight="true" outlineLevel="0" collapsed="false">
      <c r="A31" s="25" t="s">
        <v>55</v>
      </c>
      <c r="C31" s="1" t="s">
        <v>39</v>
      </c>
      <c r="D31" s="27"/>
      <c r="E31" s="1" t="s">
        <v>40</v>
      </c>
      <c r="F31" s="27"/>
      <c r="G31" s="1" t="s">
        <v>41</v>
      </c>
      <c r="H31" s="27"/>
      <c r="I31" s="1" t="s">
        <v>42</v>
      </c>
      <c r="J31" s="27"/>
      <c r="K31" s="1" t="s">
        <v>39</v>
      </c>
      <c r="L31" s="27"/>
      <c r="M31" s="1" t="s">
        <v>40</v>
      </c>
      <c r="N31" s="27"/>
      <c r="O31" s="1" t="s">
        <v>42</v>
      </c>
      <c r="P31" s="27"/>
    </row>
    <row r="32" customFormat="false" ht="15.75" hidden="false" customHeight="true" outlineLevel="0" collapsed="false">
      <c r="A32" s="25" t="s">
        <v>56</v>
      </c>
    </row>
    <row r="33" customFormat="false" ht="15.75" hidden="false" customHeight="true" outlineLevel="0" collapsed="false">
      <c r="A33" s="25" t="s">
        <v>57</v>
      </c>
    </row>
    <row r="34" customFormat="false" ht="15.75" hidden="false" customHeight="true" outlineLevel="0" collapsed="false">
      <c r="A34" s="25" t="s">
        <v>58</v>
      </c>
    </row>
    <row r="35" customFormat="false" ht="15.75" hidden="false" customHeight="true" outlineLevel="0" collapsed="false">
      <c r="A35" s="25" t="s">
        <v>59</v>
      </c>
    </row>
    <row r="36" customFormat="false" ht="15.75" hidden="false" customHeight="true" outlineLevel="0" collapsed="false">
      <c r="A36" s="25" t="s">
        <v>60</v>
      </c>
    </row>
    <row r="37" customFormat="false" ht="15.75" hidden="false" customHeight="true" outlineLevel="0" collapsed="false">
      <c r="A37" s="25" t="s">
        <v>61</v>
      </c>
    </row>
    <row r="38" customFormat="false" ht="15" hidden="false" customHeight="false" outlineLevel="0" collapsed="false">
      <c r="A38" s="25" t="s">
        <v>62</v>
      </c>
    </row>
    <row r="39" customFormat="false" ht="1.5" hidden="false" customHeight="true" outlineLevel="0" collapsed="false"/>
    <row r="40" customFormat="false" ht="15" hidden="false" customHeight="false" outlineLevel="0" collapsed="false">
      <c r="A40" s="28" t="s">
        <v>63</v>
      </c>
      <c r="B40" s="28"/>
      <c r="C40" s="28"/>
      <c r="D40" s="28"/>
      <c r="E40" s="28"/>
      <c r="F40" s="28"/>
      <c r="G40" s="28" t="s">
        <v>64</v>
      </c>
      <c r="H40" s="28"/>
      <c r="I40" s="28"/>
      <c r="J40" s="28"/>
      <c r="K40" s="28"/>
      <c r="L40" s="28"/>
      <c r="M40" s="28"/>
    </row>
    <row r="41" customFormat="false" ht="15" hidden="false" customHeight="false" outlineLevel="0" collapsed="false">
      <c r="A41" s="29"/>
      <c r="B41" s="29"/>
      <c r="C41" s="29"/>
      <c r="D41" s="30"/>
      <c r="E41" s="31"/>
      <c r="F41" s="31"/>
      <c r="G41" s="28" t="s">
        <v>65</v>
      </c>
      <c r="H41" s="28"/>
      <c r="I41" s="28"/>
      <c r="J41" s="28"/>
      <c r="K41" s="28" t="s">
        <v>66</v>
      </c>
      <c r="L41" s="28"/>
      <c r="M41" s="28"/>
    </row>
  </sheetData>
  <sheetProtection algorithmName="SHA-512" hashValue="3JU8YoIl3C0Gm9fJyTz7XaKHPlZzN2ASg692EqUJx4okS94pgtUN8JHsNcxDZ+aLmE1BEwgVGoxwLgCK/450BQ==" saltValue="1LlJysYuJTEE2jvOG9worg==" spinCount="100000" sheet="true" objects="true" scenarios="true"/>
  <mergeCells count="28">
    <mergeCell ref="F1:K1"/>
    <mergeCell ref="L1:M1"/>
    <mergeCell ref="F2:K2"/>
    <mergeCell ref="J3:K3"/>
    <mergeCell ref="A4:M4"/>
    <mergeCell ref="B8:D8"/>
    <mergeCell ref="F8:G8"/>
    <mergeCell ref="B9:D9"/>
    <mergeCell ref="B11:D11"/>
    <mergeCell ref="B12:D12"/>
    <mergeCell ref="B16:C16"/>
    <mergeCell ref="E16:F16"/>
    <mergeCell ref="G16:I16"/>
    <mergeCell ref="L16:M16"/>
    <mergeCell ref="A19:E19"/>
    <mergeCell ref="F19:F20"/>
    <mergeCell ref="G19:H19"/>
    <mergeCell ref="I19:I20"/>
    <mergeCell ref="J19:J20"/>
    <mergeCell ref="K19:K20"/>
    <mergeCell ref="L19:L20"/>
    <mergeCell ref="M19:M20"/>
    <mergeCell ref="A40:F40"/>
    <mergeCell ref="G40:M40"/>
    <mergeCell ref="A41:C41"/>
    <mergeCell ref="E41:F41"/>
    <mergeCell ref="G41:J41"/>
    <mergeCell ref="K41:M41"/>
  </mergeCells>
  <dataValidations count="1">
    <dataValidation allowBlank="true" errorStyle="stop" operator="between" showDropDown="false" showErrorMessage="true" showInputMessage="true" sqref="C31 E31 G31 I31 K31 M31 O31" type="list">
      <formula1>$B$22:$B$25</formula1>
      <formula2>0</formula2>
    </dataValidation>
  </dataValidations>
  <printOptions headings="false" gridLines="false" gridLinesSet="true" horizontalCentered="false" verticalCentered="false"/>
  <pageMargins left="0.170138888888889" right="0.159722222222222" top="0.170138888888889" bottom="0.170138888888889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2025-07-01T04:56:39Z</dcterms:created>
  <dc:creator>Admin</dc:creator>
  <dc:description/>
  <dc:language>en-US</dc:language>
  <cp:lastModifiedBy/>
  <cp:lastPrinted>2025-08-28T09:14:04Z</cp:lastPrinted>
  <dcterms:modified xsi:type="dcterms:W3CDTF">2026-01-06T13:29:19Z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